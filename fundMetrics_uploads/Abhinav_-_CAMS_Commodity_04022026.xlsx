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C8F2A99D-1C2B-4356-B920-4C1D57800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Sheet1!$A$1:$J$16</definedName>
  </definedNames>
  <calcPr calcId="191029"/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<sst xmlns="http://schemas.openxmlformats.org/spreadsheetml/2006/main" count="131" uniqueCount="63">
  <si>
    <t>ISIN</t>
  </si>
  <si>
    <t>Price</t>
  </si>
  <si>
    <t>Trade ID</t>
  </si>
  <si>
    <t>Order ID</t>
  </si>
  <si>
    <t>Order Execution Time</t>
  </si>
  <si>
    <t>INF109KC1NT3</t>
  </si>
  <si>
    <t>2025-02-11</t>
  </si>
  <si>
    <t>202549287</t>
  </si>
  <si>
    <t>1100000014353835</t>
  </si>
  <si>
    <t>2025-02-11T10:04:05</t>
  </si>
  <si>
    <t>209232249</t>
  </si>
  <si>
    <t>1100000069351013</t>
  </si>
  <si>
    <t>2025-02-11T15:15:26</t>
  </si>
  <si>
    <t>2025-02-12</t>
  </si>
  <si>
    <t>202171860</t>
  </si>
  <si>
    <t>1100000012314783</t>
  </si>
  <si>
    <t>2025-02-12T09:48:28</t>
  </si>
  <si>
    <t>202170919</t>
  </si>
  <si>
    <t>202171861</t>
  </si>
  <si>
    <t>2025-09-02</t>
  </si>
  <si>
    <t>204283726</t>
  </si>
  <si>
    <t>1100000032009415</t>
  </si>
  <si>
    <t>2025-09-02T11:55:48</t>
  </si>
  <si>
    <t>2025-09-08</t>
  </si>
  <si>
    <t>205158993</t>
  </si>
  <si>
    <t>1100000042874169</t>
  </si>
  <si>
    <t>2025-09-08T13:07:48</t>
  </si>
  <si>
    <t>2025-09-12</t>
  </si>
  <si>
    <t>206675168</t>
  </si>
  <si>
    <t>1100000052205662</t>
  </si>
  <si>
    <t>2025-09-12T13:56:50</t>
  </si>
  <si>
    <t>2025-09-29</t>
  </si>
  <si>
    <t>205439515</t>
  </si>
  <si>
    <t>1100000050466611</t>
  </si>
  <si>
    <t>2025-09-29T12:41:51</t>
  </si>
  <si>
    <t>2025-10-14</t>
  </si>
  <si>
    <t>8971800</t>
  </si>
  <si>
    <t>1760420700710178859</t>
  </si>
  <si>
    <t>2025-10-14T11:36:28</t>
  </si>
  <si>
    <t>2025-11-18</t>
  </si>
  <si>
    <t>4994200</t>
  </si>
  <si>
    <t>1763437500004814275</t>
  </si>
  <si>
    <t>2025-11-18T12:22:11</t>
  </si>
  <si>
    <t>5003700</t>
  </si>
  <si>
    <t>5652500</t>
  </si>
  <si>
    <t>1763437500004814386</t>
  </si>
  <si>
    <t>2025-11-18T12:22:27</t>
  </si>
  <si>
    <t>5148300</t>
  </si>
  <si>
    <t>1763437500004819180</t>
  </si>
  <si>
    <t>2025-11-18T12:25:56</t>
  </si>
  <si>
    <t>2026-01-30</t>
  </si>
  <si>
    <t>208663116</t>
  </si>
  <si>
    <t>1100000071961374</t>
  </si>
  <si>
    <t>2026-01-30T13:08:52</t>
  </si>
  <si>
    <t>FundName</t>
  </si>
  <si>
    <t>Date</t>
  </si>
  <si>
    <t>Units</t>
  </si>
  <si>
    <t>Amount</t>
  </si>
  <si>
    <t>FolioNo</t>
  </si>
  <si>
    <t>Abhinav</t>
  </si>
  <si>
    <t xml:space="preserve">ICICI Prudential Gold ETF </t>
  </si>
  <si>
    <t>purchase</t>
  </si>
  <si>
    <t>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</si>
</sst>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tabSelected="1" workbookViewId="0">
      <selection activeCell="D2" sqref="D2"/>
    </sheetView>
  </sheetViews>
  <sheetFormatPr defaultColWidth="15" defaultRowHeight="15" x14ac:dyDescent="0.25"/>
  <cols>
    <col min="1" max="1" width="23.5703125" bestFit="1" customWidth="1"/>
    <col min="9" max="9" width="20.28515625" bestFit="1" customWidth="1"/>
    <col min="10" max="10" width="22.7109375" bestFit="1" customWidth="1"/>
  </cols>
  <sheetData>
    <row r="1" spans="1:11" x14ac:dyDescent="0.25">
      <c r="A1" s="1" t="s">
        <v>54</v>
      </c>
      <c r="B1" s="1" t="s">
        <v>0</v>
      </c>
      <c r="C1" s="1" t="s">
        <v>55</v>
      </c>
      <c r="D1" s="1" t="s">
        <v>62</v>
      </c>
      <c r="E1" s="1" t="s">
        <v>56</v>
      </c>
      <c r="F1" s="1" t="s">
        <v>1</v>
      </c>
      <c r="G1" s="1" t="s">
        <v>57</v>
      </c>
      <c r="H1" s="1" t="s">
        <v>2</v>
      </c>
      <c r="I1" s="1" t="s">
        <v>3</v>
      </c>
      <c r="J1" s="1" t="s">
        <v>4</v>
      </c>
      <c r="K1" s="1" t="s">
        <v>58</v>
      </c>
    </row>
    <row r="2" spans="1:11" x14ac:dyDescent="0.25">
      <c r="A2" s="2" t="s">
        <v>60</v>
      </c>
      <c r="B2" s="2" t="s">
        <v>5</v>
      </c>
      <c r="C2" s="2" t="s">
        <v>6</v>
      </c>
      <c r="D2" s="2" t="s">
        <v>61</v>
      </c>
      <c r="E2" s="3">
        <v>200</v>
      </c>
      <c r="F2" s="3">
        <v>74.5</v>
      </c>
      <c r="G2" s="3">
        <f t="shared" ref="G2:G10" si="0">F2*E2</f>
        <v>14900</v>
      </c>
      <c r="H2" s="2" t="s">
        <v>7</v>
      </c>
      <c r="I2" s="2" t="s">
        <v>8</v>
      </c>
      <c r="J2" s="2" t="s">
        <v>9</v>
      </c>
      <c r="K2" s="2" t="s">
        <v>59</v>
      </c>
    </row>
    <row r="3" spans="1:11" x14ac:dyDescent="0.25">
      <c r="A3" s="2" t="s">
        <v>60</v>
      </c>
      <c r="B3" s="2" t="s">
        <v>5</v>
      </c>
      <c r="C3" s="2" t="s">
        <v>6</v>
      </c>
      <c r="D3" s="2" t="s">
        <v>61</v>
      </c>
      <c r="E3" s="3">
        <v>100</v>
      </c>
      <c r="F3" s="3">
        <v>74.150000000000006</v>
      </c>
      <c r="G3" s="3">
        <f t="shared" si="0"/>
        <v>7415.0000000000009</v>
      </c>
      <c r="H3" s="2" t="s">
        <v>10</v>
      </c>
      <c r="I3" s="2" t="s">
        <v>11</v>
      </c>
      <c r="J3" s="2" t="s">
        <v>12</v>
      </c>
      <c r="K3" s="2" t="s">
        <v>59</v>
      </c>
    </row>
    <row r="4" spans="1:11" x14ac:dyDescent="0.25">
      <c r="A4" s="2" t="s">
        <v>60</v>
      </c>
      <c r="B4" s="2" t="s">
        <v>5</v>
      </c>
      <c r="C4" s="2" t="s">
        <v>13</v>
      </c>
      <c r="D4" s="2" t="s">
        <v>61</v>
      </c>
      <c r="E4" s="3">
        <v>1</v>
      </c>
      <c r="F4" s="3">
        <v>73.400000000000006</v>
      </c>
      <c r="G4" s="3">
        <f t="shared" si="0"/>
        <v>73.400000000000006</v>
      </c>
      <c r="H4" s="2" t="s">
        <v>14</v>
      </c>
      <c r="I4" s="2" t="s">
        <v>15</v>
      </c>
      <c r="J4" s="2" t="s">
        <v>16</v>
      </c>
      <c r="K4" s="2" t="s">
        <v>59</v>
      </c>
    </row>
    <row r="5" spans="1:11" x14ac:dyDescent="0.25">
      <c r="A5" s="2" t="s">
        <v>60</v>
      </c>
      <c r="B5" s="2" t="s">
        <v>5</v>
      </c>
      <c r="C5" s="2" t="s">
        <v>13</v>
      </c>
      <c r="D5" s="2" t="s">
        <v>61</v>
      </c>
      <c r="E5" s="3">
        <v>31</v>
      </c>
      <c r="F5" s="3">
        <v>73.400000000000006</v>
      </c>
      <c r="G5" s="3">
        <f t="shared" si="0"/>
        <v>2275.4</v>
      </c>
      <c r="H5" s="2" t="s">
        <v>17</v>
      </c>
      <c r="I5" s="2" t="s">
        <v>15</v>
      </c>
      <c r="J5" s="2" t="s">
        <v>16</v>
      </c>
      <c r="K5" s="2" t="s">
        <v>59</v>
      </c>
    </row>
    <row r="6" spans="1:11" x14ac:dyDescent="0.25">
      <c r="A6" s="2" t="s">
        <v>60</v>
      </c>
      <c r="B6" s="2" t="s">
        <v>5</v>
      </c>
      <c r="C6" s="2" t="s">
        <v>13</v>
      </c>
      <c r="D6" s="2" t="s">
        <v>61</v>
      </c>
      <c r="E6" s="3">
        <v>68</v>
      </c>
      <c r="F6" s="3">
        <v>73.400000000000006</v>
      </c>
      <c r="G6" s="3">
        <f t="shared" si="0"/>
        <v>4991.2000000000007</v>
      </c>
      <c r="H6" s="2" t="s">
        <v>18</v>
      </c>
      <c r="I6" s="2" t="s">
        <v>15</v>
      </c>
      <c r="J6" s="2" t="s">
        <v>16</v>
      </c>
      <c r="K6" s="2" t="s">
        <v>59</v>
      </c>
    </row>
    <row r="7" spans="1:11" x14ac:dyDescent="0.25">
      <c r="A7" s="2" t="s">
        <v>60</v>
      </c>
      <c r="B7" s="2" t="s">
        <v>5</v>
      </c>
      <c r="C7" s="2" t="s">
        <v>19</v>
      </c>
      <c r="D7" s="2" t="s">
        <v>61</v>
      </c>
      <c r="E7" s="3">
        <v>725</v>
      </c>
      <c r="F7" s="3">
        <v>89.8</v>
      </c>
      <c r="G7" s="3">
        <f t="shared" si="0"/>
        <v>65105</v>
      </c>
      <c r="H7" s="2" t="s">
        <v>20</v>
      </c>
      <c r="I7" s="2" t="s">
        <v>21</v>
      </c>
      <c r="J7" s="2" t="s">
        <v>22</v>
      </c>
      <c r="K7" s="2" t="s">
        <v>59</v>
      </c>
    </row>
    <row r="8" spans="1:11" x14ac:dyDescent="0.25">
      <c r="A8" s="2" t="s">
        <v>60</v>
      </c>
      <c r="B8" s="2" t="s">
        <v>5</v>
      </c>
      <c r="C8" s="2" t="s">
        <v>23</v>
      </c>
      <c r="D8" s="2" t="s">
        <v>61</v>
      </c>
      <c r="E8" s="3">
        <v>150</v>
      </c>
      <c r="F8" s="3">
        <v>92.75</v>
      </c>
      <c r="G8" s="3">
        <f t="shared" si="0"/>
        <v>13912.5</v>
      </c>
      <c r="H8" s="2" t="s">
        <v>24</v>
      </c>
      <c r="I8" s="2" t="s">
        <v>25</v>
      </c>
      <c r="J8" s="2" t="s">
        <v>26</v>
      </c>
      <c r="K8" s="2" t="s">
        <v>59</v>
      </c>
    </row>
    <row r="9" spans="1:11" x14ac:dyDescent="0.25">
      <c r="A9" s="2" t="s">
        <v>60</v>
      </c>
      <c r="B9" s="2" t="s">
        <v>5</v>
      </c>
      <c r="C9" s="2" t="s">
        <v>27</v>
      </c>
      <c r="D9" s="2" t="s">
        <v>61</v>
      </c>
      <c r="E9" s="3">
        <v>160</v>
      </c>
      <c r="F9" s="3">
        <v>94.24</v>
      </c>
      <c r="G9" s="3">
        <f t="shared" si="0"/>
        <v>15078.4</v>
      </c>
      <c r="H9" s="2" t="s">
        <v>28</v>
      </c>
      <c r="I9" s="2" t="s">
        <v>29</v>
      </c>
      <c r="J9" s="2" t="s">
        <v>30</v>
      </c>
      <c r="K9" s="2" t="s">
        <v>59</v>
      </c>
    </row>
    <row r="10" spans="1:11" x14ac:dyDescent="0.25">
      <c r="A10" s="2" t="s">
        <v>60</v>
      </c>
      <c r="B10" s="2" t="s">
        <v>5</v>
      </c>
      <c r="C10" s="2" t="s">
        <v>31</v>
      </c>
      <c r="D10" s="2" t="s">
        <v>61</v>
      </c>
      <c r="E10" s="3">
        <v>100</v>
      </c>
      <c r="F10" s="3">
        <v>99.25</v>
      </c>
      <c r="G10" s="3">
        <f t="shared" si="0"/>
        <v>9925</v>
      </c>
      <c r="H10" s="2" t="s">
        <v>32</v>
      </c>
      <c r="I10" s="2" t="s">
        <v>33</v>
      </c>
      <c r="J10" s="2" t="s">
        <v>34</v>
      </c>
      <c r="K10" s="2" t="s">
        <v>59</v>
      </c>
    </row>
    <row r="11" spans="1:11" x14ac:dyDescent="0.25">
      <c r="A11" s="2" t="s">
        <v>60</v>
      </c>
      <c r="B11" s="2" t="s">
        <v>5</v>
      </c>
      <c r="C11" s="2" t="s">
        <v>35</v>
      </c>
      <c r="D11" s="2" t="s">
        <v>61</v>
      </c>
      <c r="E11" s="3">
        <v>100</v>
      </c>
      <c r="F11" s="3">
        <v>108</v>
      </c>
      <c r="G11" s="3">
        <f t="shared" ref="G11:G16" si="1">F11*E11</f>
        <v>10800</v>
      </c>
      <c r="H11" s="2" t="s">
        <v>36</v>
      </c>
      <c r="I11" s="2" t="s">
        <v>37</v>
      </c>
      <c r="J11" s="2" t="s">
        <v>38</v>
      </c>
      <c r="K11" s="2" t="s">
        <v>59</v>
      </c>
    </row>
    <row r="12" spans="1:11" x14ac:dyDescent="0.25">
      <c r="A12" s="2" t="s">
        <v>60</v>
      </c>
      <c r="B12" s="2" t="s">
        <v>5</v>
      </c>
      <c r="C12" s="2" t="s">
        <v>39</v>
      </c>
      <c r="D12" s="2" t="s">
        <v>61</v>
      </c>
      <c r="E12" s="3">
        <v>1</v>
      </c>
      <c r="F12" s="3">
        <v>103.75</v>
      </c>
      <c r="G12" s="3">
        <f t="shared" si="1"/>
        <v>103.75</v>
      </c>
      <c r="H12" s="2" t="s">
        <v>40</v>
      </c>
      <c r="I12" s="2" t="s">
        <v>41</v>
      </c>
      <c r="J12" s="2" t="s">
        <v>42</v>
      </c>
      <c r="K12" s="2" t="s">
        <v>59</v>
      </c>
    </row>
    <row r="13" spans="1:11" x14ac:dyDescent="0.25">
      <c r="A13" s="2" t="s">
        <v>60</v>
      </c>
      <c r="B13" s="2" t="s">
        <v>5</v>
      </c>
      <c r="C13" s="2" t="s">
        <v>39</v>
      </c>
      <c r="D13" s="2" t="s">
        <v>61</v>
      </c>
      <c r="E13" s="3">
        <v>49</v>
      </c>
      <c r="F13" s="3">
        <v>103.75</v>
      </c>
      <c r="G13" s="3">
        <f t="shared" si="1"/>
        <v>5083.75</v>
      </c>
      <c r="H13" s="2" t="s">
        <v>43</v>
      </c>
      <c r="I13" s="2" t="s">
        <v>41</v>
      </c>
      <c r="J13" s="2" t="s">
        <v>42</v>
      </c>
      <c r="K13" s="2" t="s">
        <v>59</v>
      </c>
    </row>
    <row r="14" spans="1:11" x14ac:dyDescent="0.25">
      <c r="A14" s="2" t="s">
        <v>60</v>
      </c>
      <c r="B14" s="2" t="s">
        <v>5</v>
      </c>
      <c r="C14" s="2" t="s">
        <v>39</v>
      </c>
      <c r="D14" s="2" t="s">
        <v>61</v>
      </c>
      <c r="E14" s="3">
        <v>50</v>
      </c>
      <c r="F14" s="3">
        <v>103.4</v>
      </c>
      <c r="G14" s="3">
        <f t="shared" si="1"/>
        <v>5170</v>
      </c>
      <c r="H14" s="2" t="s">
        <v>44</v>
      </c>
      <c r="I14" s="2" t="s">
        <v>45</v>
      </c>
      <c r="J14" s="2" t="s">
        <v>46</v>
      </c>
      <c r="K14" s="2" t="s">
        <v>59</v>
      </c>
    </row>
    <row r="15" spans="1:11" x14ac:dyDescent="0.25">
      <c r="A15" s="2" t="s">
        <v>60</v>
      </c>
      <c r="B15" s="2" t="s">
        <v>5</v>
      </c>
      <c r="C15" s="2" t="s">
        <v>39</v>
      </c>
      <c r="D15" s="2" t="s">
        <v>61</v>
      </c>
      <c r="E15" s="3">
        <v>100</v>
      </c>
      <c r="F15" s="3">
        <v>103.6</v>
      </c>
      <c r="G15" s="3">
        <f t="shared" si="1"/>
        <v>10360</v>
      </c>
      <c r="H15" s="2" t="s">
        <v>47</v>
      </c>
      <c r="I15" s="2" t="s">
        <v>48</v>
      </c>
      <c r="J15" s="2" t="s">
        <v>49</v>
      </c>
      <c r="K15" s="2" t="s">
        <v>59</v>
      </c>
    </row>
    <row r="16" spans="1:11" x14ac:dyDescent="0.25">
      <c r="A16" s="2" t="s">
        <v>60</v>
      </c>
      <c r="B16" s="2" t="s">
        <v>5</v>
      </c>
      <c r="C16" s="2" t="s">
        <v>50</v>
      </c>
      <c r="D16" s="2" t="s">
        <v>61</v>
      </c>
      <c r="E16" s="3">
        <v>100</v>
      </c>
      <c r="F16" s="3">
        <v>140.1</v>
      </c>
      <c r="G16" s="3">
        <f t="shared" si="1"/>
        <v>14010</v>
      </c>
      <c r="H16" s="2" t="s">
        <v>51</v>
      </c>
      <c r="I16" s="2" t="s">
        <v>52</v>
      </c>
      <c r="J16" s="2" t="s">
        <v>53</v>
      </c>
      <c r="K16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2026-02-04T20:22:48Z</dcterms:modified>
</cp:coreProperties>
</file>